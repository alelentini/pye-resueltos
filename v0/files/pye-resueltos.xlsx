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0048007\Documents\Projects\PyE\pye-resueltos\files\"/>
    </mc:Choice>
  </mc:AlternateContent>
  <bookViews>
    <workbookView xWindow="0" yWindow="0" windowWidth="20490" windowHeight="9495"/>
  </bookViews>
  <sheets>
    <sheet name="Sheet1" sheetId="4" r:id="rId1"/>
    <sheet name="Listado" sheetId="3" r:id="rId2"/>
    <sheet name="5.1" sheetId="1" r:id="rId3"/>
    <sheet name="6.1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" i="3" l="1"/>
  <c r="A21" i="3" l="1"/>
  <c r="K7" i="2" l="1"/>
  <c r="G11" i="2"/>
  <c r="G10" i="2"/>
  <c r="G9" i="2"/>
  <c r="G8" i="2"/>
  <c r="G7" i="2"/>
  <c r="G6" i="2"/>
  <c r="G5" i="2"/>
  <c r="H5" i="2"/>
  <c r="G4" i="2"/>
  <c r="G3" i="2"/>
  <c r="G12" i="2" s="1"/>
  <c r="H11" i="2"/>
  <c r="H10" i="2"/>
  <c r="H9" i="2"/>
  <c r="H8" i="2"/>
  <c r="H7" i="2"/>
  <c r="H6" i="2"/>
  <c r="H4" i="2"/>
  <c r="H3" i="2"/>
  <c r="K8" i="2" s="1"/>
  <c r="C8" i="2"/>
  <c r="C9" i="2" s="1"/>
  <c r="C6" i="2"/>
  <c r="K5" i="2" l="1"/>
  <c r="K6" i="2"/>
  <c r="K4" i="2"/>
  <c r="K9" i="2" s="1"/>
  <c r="K3" i="2"/>
  <c r="K15" i="2" s="1"/>
  <c r="H18" i="1"/>
  <c r="H17" i="1"/>
  <c r="H16" i="1"/>
  <c r="E18" i="1" l="1"/>
  <c r="E16" i="1"/>
  <c r="E17" i="1"/>
  <c r="E14" i="1" l="1"/>
  <c r="H14" i="1" s="1"/>
  <c r="E13" i="1"/>
  <c r="H13" i="1" s="1"/>
  <c r="H12" i="1"/>
  <c r="H11" i="1"/>
  <c r="E12" i="1"/>
  <c r="E11" i="1"/>
  <c r="M7" i="1" l="1"/>
  <c r="L7" i="1"/>
  <c r="K7" i="1"/>
  <c r="N6" i="1"/>
  <c r="N5" i="1"/>
  <c r="N4" i="1"/>
  <c r="N7" i="1" s="1"/>
  <c r="F7" i="1" l="1"/>
  <c r="E7" i="1"/>
  <c r="D7" i="1"/>
  <c r="G7" i="1"/>
  <c r="G6" i="1"/>
  <c r="G5" i="1"/>
  <c r="G4" i="1"/>
</calcChain>
</file>

<file path=xl/sharedStrings.xml><?xml version="1.0" encoding="utf-8"?>
<sst xmlns="http://schemas.openxmlformats.org/spreadsheetml/2006/main" count="102" uniqueCount="72">
  <si>
    <t>X</t>
  </si>
  <si>
    <t>Y</t>
  </si>
  <si>
    <r>
      <t>p</t>
    </r>
    <r>
      <rPr>
        <i/>
        <vertAlign val="subscript"/>
        <sz val="11"/>
        <color theme="1"/>
        <rFont val="Times}"/>
      </rPr>
      <t>X</t>
    </r>
    <r>
      <rPr>
        <i/>
        <sz val="11"/>
        <color theme="1"/>
        <rFont val="Times}"/>
      </rPr>
      <t>(x)</t>
    </r>
  </si>
  <si>
    <r>
      <t>p</t>
    </r>
    <r>
      <rPr>
        <i/>
        <vertAlign val="subscript"/>
        <sz val="11"/>
        <color theme="1"/>
        <rFont val="Times}"/>
      </rPr>
      <t>Y</t>
    </r>
    <r>
      <rPr>
        <i/>
        <sz val="11"/>
        <color theme="1"/>
        <rFont val="Times}"/>
      </rPr>
      <t>(y)</t>
    </r>
  </si>
  <si>
    <r>
      <t>p</t>
    </r>
    <r>
      <rPr>
        <i/>
        <vertAlign val="subscript"/>
        <sz val="11"/>
        <color theme="1"/>
        <rFont val="Times}"/>
      </rPr>
      <t>X;Y</t>
    </r>
    <r>
      <rPr>
        <i/>
        <sz val="11"/>
        <color theme="1"/>
        <rFont val="Times}"/>
      </rPr>
      <t>(x,y)</t>
    </r>
  </si>
  <si>
    <r>
      <t>p</t>
    </r>
    <r>
      <rPr>
        <i/>
        <vertAlign val="subscript"/>
        <sz val="11"/>
        <color theme="1"/>
        <rFont val="Times New Roman"/>
        <family val="1"/>
      </rPr>
      <t>X</t>
    </r>
    <r>
      <rPr>
        <i/>
        <sz val="11"/>
        <color theme="1"/>
        <rFont val="Times New Roman"/>
        <family val="1"/>
      </rPr>
      <t>(x)</t>
    </r>
  </si>
  <si>
    <r>
      <t>p</t>
    </r>
    <r>
      <rPr>
        <i/>
        <vertAlign val="subscript"/>
        <sz val="11"/>
        <color theme="1"/>
        <rFont val="Times New Roman"/>
        <family val="1"/>
      </rPr>
      <t>X;Y</t>
    </r>
    <r>
      <rPr>
        <i/>
        <sz val="11"/>
        <color theme="1"/>
        <rFont val="Times New Roman"/>
        <family val="1"/>
      </rPr>
      <t>(x,y)</t>
    </r>
  </si>
  <si>
    <r>
      <t>p</t>
    </r>
    <r>
      <rPr>
        <i/>
        <vertAlign val="subscript"/>
        <sz val="11"/>
        <color theme="1"/>
        <rFont val="Times New Roman"/>
        <family val="1"/>
      </rPr>
      <t>Y</t>
    </r>
    <r>
      <rPr>
        <i/>
        <sz val="11"/>
        <color theme="1"/>
        <rFont val="Times New Roman"/>
        <family val="1"/>
      </rPr>
      <t>(y)</t>
    </r>
  </si>
  <si>
    <t xml:space="preserve"> </t>
  </si>
  <si>
    <t>E(X)</t>
  </si>
  <si>
    <t>E(Y)</t>
  </si>
  <si>
    <r>
      <t>E(X</t>
    </r>
    <r>
      <rPr>
        <vertAlign val="superscript"/>
        <sz val="11"/>
        <color theme="1"/>
        <rFont val="Times}"/>
      </rPr>
      <t>2</t>
    </r>
    <r>
      <rPr>
        <sz val="11"/>
        <color theme="1"/>
        <rFont val="Times}"/>
      </rPr>
      <t>)</t>
    </r>
  </si>
  <si>
    <r>
      <t>E(Y</t>
    </r>
    <r>
      <rPr>
        <vertAlign val="superscript"/>
        <sz val="11"/>
        <color theme="1"/>
        <rFont val="Times}"/>
      </rPr>
      <t>2</t>
    </r>
    <r>
      <rPr>
        <sz val="11"/>
        <color theme="1"/>
        <rFont val="Times}"/>
      </rPr>
      <t>)</t>
    </r>
  </si>
  <si>
    <r>
      <t>V</t>
    </r>
    <r>
      <rPr>
        <sz val="11"/>
        <color theme="1"/>
        <rFont val="Times}"/>
      </rPr>
      <t>(X)</t>
    </r>
  </si>
  <si>
    <r>
      <t>V</t>
    </r>
    <r>
      <rPr>
        <sz val="11"/>
        <color theme="1"/>
        <rFont val="Times}"/>
      </rPr>
      <t>(Y)</t>
    </r>
  </si>
  <si>
    <t>P(Y&lt;=X | X=1)</t>
  </si>
  <si>
    <t>E(X-Y)</t>
  </si>
  <si>
    <t>P(Y&lt;=X | X&lt;=1)</t>
  </si>
  <si>
    <t>E(XY)</t>
  </si>
  <si>
    <t>COV(X,Y)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</si>
  <si>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}"/>
      </rPr>
      <t>X)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</si>
  <si>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}"/>
      </rPr>
      <t>Y)</t>
    </r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</si>
  <si>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Times}"/>
      </rPr>
      <t>XY</t>
    </r>
  </si>
  <si>
    <r>
      <t xml:space="preserve">X </t>
    </r>
    <r>
      <rPr>
        <sz val="11"/>
        <color theme="1"/>
        <rFont val="Times New Roman"/>
        <family val="1"/>
      </rPr>
      <t>[$]</t>
    </r>
  </si>
  <si>
    <r>
      <t>X</t>
    </r>
    <r>
      <rPr>
        <i/>
        <vertAlign val="subscript"/>
        <sz val="11"/>
        <color theme="1"/>
        <rFont val="Times New Roman"/>
        <family val="1"/>
      </rPr>
      <t>1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[$]</t>
    </r>
  </si>
  <si>
    <r>
      <t>X</t>
    </r>
    <r>
      <rPr>
        <i/>
        <vertAlign val="subscript"/>
        <sz val="11"/>
        <color theme="1"/>
        <rFont val="Times New Roman"/>
        <family val="1"/>
      </rPr>
      <t>2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[$]</t>
    </r>
  </si>
  <si>
    <t>V(X)</t>
  </si>
  <si>
    <t>E(Xmed)</t>
  </si>
  <si>
    <t>E19</t>
  </si>
  <si>
    <t>E18</t>
  </si>
  <si>
    <t>E17</t>
  </si>
  <si>
    <t>E16</t>
  </si>
  <si>
    <t>E15</t>
  </si>
  <si>
    <t>E14</t>
  </si>
  <si>
    <t>E13</t>
  </si>
  <si>
    <t>E12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</si>
  <si>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</si>
  <si>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</si>
  <si>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</si>
  <si>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</si>
  <si>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</si>
  <si>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</si>
  <si>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</si>
  <si>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</si>
  <si>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</si>
  <si>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</si>
  <si>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</si>
  <si>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TP7</t>
  </si>
  <si>
    <t>Estimación de parámetros poblacionales</t>
  </si>
  <si>
    <t xml:space="preserve">TP1 </t>
  </si>
  <si>
    <t xml:space="preserve">TP2 </t>
  </si>
  <si>
    <t xml:space="preserve">TP3 </t>
  </si>
  <si>
    <t xml:space="preserve">TP4 </t>
  </si>
  <si>
    <t xml:space="preserve">TP5 </t>
  </si>
  <si>
    <t xml:space="preserve">TP6 </t>
  </si>
  <si>
    <t>TP8</t>
  </si>
  <si>
    <t>OK</t>
  </si>
  <si>
    <t>Cifras significativas</t>
  </si>
  <si>
    <t>NOK</t>
  </si>
  <si>
    <t>b)</t>
  </si>
  <si>
    <t>Prueba de hipótesis</t>
  </si>
  <si>
    <t>E20</t>
  </si>
  <si>
    <t>E21</t>
  </si>
  <si>
    <t>E22</t>
  </si>
  <si>
    <t>E23</t>
  </si>
  <si>
    <t>E24</t>
  </si>
  <si>
    <t>E25</t>
  </si>
  <si>
    <t>E26</t>
  </si>
  <si>
    <t>E27</t>
  </si>
  <si>
    <t>Probabilidad y Estadística - Resolución TP</t>
  </si>
  <si>
    <t>Respuesta incorrecta en guía</t>
  </si>
  <si>
    <t>Dimensiones gráficos: 428 x 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</si>
</sst>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Times}"/>
    </font>
    <font>
      <i/>
      <sz val="11"/>
      <color theme="1"/>
      <name val="Times}"/>
    </font>
    <font>
      <i/>
      <vertAlign val="subscript"/>
      <sz val="11"/>
      <color theme="1"/>
      <name val="Times}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vertAlign val="superscript"/>
      <sz val="11"/>
      <color theme="1"/>
      <name val="Times}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vertAlign val="subscript"/>
      <sz val="11"/>
      <color theme="1"/>
      <name val="Times}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5" borderId="0" xfId="0" applyFont="1" applyFill="1" applyAlignment="1">
      <alignment horizontal="center"/>
    </xf>
    <xf numFmtId="0" fontId="0" fillId="5" borderId="0" xfId="0" applyFill="1"/>
    <xf numFmtId="0" fontId="0" fillId="6" borderId="0" xfId="0" applyFont="1" applyFill="1" applyAlignment="1">
      <alignment horizontal="center"/>
    </xf>
    <xf numFmtId="0" fontId="0" fillId="6" borderId="0" xfId="0" applyFill="1"/>
    <xf numFmtId="0" fontId="0" fillId="0" borderId="0" xfId="0" applyFill="1"/>
    <xf numFmtId="9" fontId="11" fillId="7" borderId="0" xfId="1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0" xfId="0" applyFont="1" applyFill="1"/>
    <xf numFmtId="0" fontId="0" fillId="7" borderId="0" xfId="0" applyFill="1"/>
    <xf numFmtId="0" fontId="12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542925</xdr:colOff>
      <xdr:row>4</xdr:row>
      <xdr:rowOff>19050</xdr:rowOff>
    </xdr:from>
    <xdr:to>
      <xdr:col>14</xdr:col>
      <xdr:colOff>371475</xdr:colOff>
      <xdr:row>4</xdr:row>
      <xdr:rowOff>19050</xdr:rowOff>
    </xdr:to>
    <xdr:cxnSp macro="">
      <xdr:nvCxnSpPr>
        <xdr:cNvPr id="18" name="Straight Arrow Connector 17"/>
        <xdr:cNvCxnSpPr/>
      </xdr:nvCxnSpPr>
      <xdr:spPr>
        <a:xfrm>
          <a:off x="7210425" y="1123950"/>
          <a:ext cx="10477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390525</xdr:colOff>
      <xdr:row>3</xdr:row>
      <xdr:rowOff>209550</xdr:rowOff>
    </xdr:from>
    <xdr:ext cx="1249060" cy="254493"/>
    <xdr:sp macro="" textlink="">
      <xdr:nvSpPr>
        <xdr:cNvPr id="19" name="TextBox 18"/>
        <xdr:cNvSpPr txBox="1"/>
      </xdr:nvSpPr>
      <xdr:spPr>
        <a:xfrm>
          <a:off x="8277225" y="1009650"/>
          <a:ext cx="1249060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1">
              <a:latin typeface="Times New Roman" panose="02020603050405020304" pitchFamily="18" charset="0"/>
              <a:cs typeface="Times New Roman" panose="02020603050405020304" pitchFamily="18" charset="0"/>
            </a:rPr>
            <a:t>P(X &lt; Y)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= 0.0262</a:t>
          </a:r>
        </a:p>
      </xdr:txBody>
    </xdr:sp>
    <xdr:clientData/>
  </xdr:oneCellAnchor>
  <xdr:oneCellAnchor>
    <xdr:from>
      <xdr:col>10</xdr:col>
      <xdr:colOff>19050</xdr:colOff>
      <xdr:row>7</xdr:row>
      <xdr:rowOff>171450</xdr:rowOff>
    </xdr:from>
    <xdr:ext cx="1233286" cy="254493"/>
    <xdr:sp macro="" textlink="">
      <xdr:nvSpPr>
        <xdr:cNvPr id="20" name="TextBox 19"/>
        <xdr:cNvSpPr txBox="1"/>
      </xdr:nvSpPr>
      <xdr:spPr>
        <a:xfrm>
          <a:off x="5467350" y="2190750"/>
          <a:ext cx="1233286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1">
              <a:latin typeface="Times New Roman" panose="02020603050405020304" pitchFamily="18" charset="0"/>
              <a:cs typeface="Times New Roman" panose="02020603050405020304" pitchFamily="18" charset="0"/>
            </a:rPr>
            <a:t>P(X &gt; Y)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= 0.0028</a:t>
          </a:r>
        </a:p>
      </xdr:txBody>
    </xdr:sp>
    <xdr:clientData/>
  </xdr:oneCellAnchor>
  <xdr:twoCellAnchor>
    <xdr:from>
      <xdr:col>11</xdr:col>
      <xdr:colOff>19050</xdr:colOff>
      <xdr:row>5</xdr:row>
      <xdr:rowOff>161925</xdr:rowOff>
    </xdr:from>
    <xdr:to>
      <xdr:col>11</xdr:col>
      <xdr:colOff>19050</xdr:colOff>
      <xdr:row>7</xdr:row>
      <xdr:rowOff>133350</xdr:rowOff>
    </xdr:to>
    <xdr:cxnSp macro="">
      <xdr:nvCxnSpPr>
        <xdr:cNvPr id="21" name="Straight Arrow Connector 20"/>
        <xdr:cNvCxnSpPr/>
      </xdr:nvCxnSpPr>
      <xdr:spPr>
        <a:xfrm>
          <a:off x="6076950" y="1571625"/>
          <a:ext cx="0" cy="5810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285750</xdr:colOff>
      <xdr:row>8</xdr:row>
      <xdr:rowOff>276225</xdr:rowOff>
    </xdr:from>
    <xdr:ext cx="1233286" cy="254493"/>
    <xdr:sp macro="" textlink="">
      <xdr:nvSpPr>
        <xdr:cNvPr id="23" name="TextBox 22"/>
        <xdr:cNvSpPr txBox="1"/>
      </xdr:nvSpPr>
      <xdr:spPr>
        <a:xfrm>
          <a:off x="6343650" y="2600325"/>
          <a:ext cx="1233286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i="1">
              <a:latin typeface="Times New Roman" panose="02020603050405020304" pitchFamily="18" charset="0"/>
              <a:cs typeface="Times New Roman" panose="02020603050405020304" pitchFamily="18" charset="0"/>
            </a:rPr>
            <a:t>P(X = Y)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= 0.9710</a:t>
          </a:r>
        </a:p>
      </xdr:txBody>
    </xdr:sp>
    <xdr:clientData/>
  </xdr:oneCellAnchor>
  <xdr:twoCellAnchor>
    <xdr:from>
      <xdr:col>12</xdr:col>
      <xdr:colOff>552450</xdr:colOff>
      <xdr:row>5</xdr:row>
      <xdr:rowOff>257175</xdr:rowOff>
    </xdr:from>
    <xdr:to>
      <xdr:col>12</xdr:col>
      <xdr:colOff>552450</xdr:colOff>
      <xdr:row>8</xdr:row>
      <xdr:rowOff>228600</xdr:rowOff>
    </xdr:to>
    <xdr:cxnSp macro="">
      <xdr:nvCxnSpPr>
        <xdr:cNvPr id="24" name="Straight Arrow Connector 23"/>
        <xdr:cNvCxnSpPr/>
      </xdr:nvCxnSpPr>
      <xdr:spPr>
        <a:xfrm>
          <a:off x="7219950" y="1666875"/>
          <a:ext cx="0" cy="8858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</xdr:colOff>
      <xdr:row>1</xdr:row>
      <xdr:rowOff>57150</xdr:rowOff>
    </xdr:from>
    <xdr:ext cx="600074" cy="2381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3657601" y="247650"/>
              <a:ext cx="600074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</m:acc>
                </m:oMath>
              </a14:m>
              <a:r>
                <a:rPr lang="en-US" sz="1200">
                  <a:latin typeface="Times New Roman" panose="02020603050405020304" pitchFamily="18" charset="0"/>
                  <a:cs typeface="Times New Roman" panose="02020603050405020304" pitchFamily="18" charset="0"/>
                </a:rPr>
                <a:t> [$]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3657601" y="247650"/>
              <a:ext cx="600074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200" b="0" i="0">
                  <a:latin typeface="Cambria Math" panose="02040503050406030204" pitchFamily="18" charset="0"/>
                </a:rPr>
                <a:t>𝑋 ̅</a:t>
              </a:r>
              <a:r>
                <a:rPr lang="en-US" sz="1200">
                  <a:latin typeface="Times New Roman" panose="02020603050405020304" pitchFamily="18" charset="0"/>
                  <a:cs typeface="Times New Roman" panose="02020603050405020304" pitchFamily="18" charset="0"/>
                </a:rPr>
                <a:t> [$]</a:t>
              </a:r>
            </a:p>
          </xdr:txBody>
        </xdr:sp>
      </mc:Fallback>
    </mc:AlternateContent>
    <xdr:clientData/>
  </xdr:oneCellAnchor>
  <xdr:oneCellAnchor>
    <xdr:from>
      <xdr:col>6</xdr:col>
      <xdr:colOff>9526</xdr:colOff>
      <xdr:row>1</xdr:row>
      <xdr:rowOff>38100</xdr:rowOff>
    </xdr:from>
    <xdr:ext cx="628650" cy="2381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3667126" y="228600"/>
              <a:ext cx="628650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3667126" y="228600"/>
              <a:ext cx="628650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200" b="0" i="0">
                  <a:latin typeface="Cambria Math" panose="02040503050406030204" pitchFamily="18" charset="0"/>
                </a:rPr>
                <a:t>𝑝_(𝑋_1,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1</xdr:colOff>
      <xdr:row>1</xdr:row>
      <xdr:rowOff>57150</xdr:rowOff>
    </xdr:from>
    <xdr:ext cx="600074" cy="2381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5486401" y="247650"/>
              <a:ext cx="600074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</m:acc>
                </m:oMath>
              </a14:m>
              <a:r>
                <a:rPr lang="en-US" sz="1200">
                  <a:latin typeface="Times New Roman" panose="02020603050405020304" pitchFamily="18" charset="0"/>
                  <a:cs typeface="Times New Roman" panose="02020603050405020304" pitchFamily="18" charset="0"/>
                </a:rPr>
                <a:t> [$]</a:t>
              </a:r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5486401" y="247650"/>
              <a:ext cx="600074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200" b="0" i="0">
                  <a:latin typeface="Cambria Math" panose="02040503050406030204" pitchFamily="18" charset="0"/>
                </a:rPr>
                <a:t>𝑋 ̅</a:t>
              </a:r>
              <a:r>
                <a:rPr lang="en-US" sz="1200">
                  <a:latin typeface="Times New Roman" panose="02020603050405020304" pitchFamily="18" charset="0"/>
                  <a:cs typeface="Times New Roman" panose="02020603050405020304" pitchFamily="18" charset="0"/>
                </a:rPr>
                <a:t> [$]</a:t>
              </a:r>
            </a:p>
          </xdr:txBody>
        </xdr:sp>
      </mc:Fallback>
    </mc:AlternateContent>
    <xdr:clientData/>
  </xdr:oneCellAnchor>
  <xdr:oneCellAnchor>
    <xdr:from>
      <xdr:col>10</xdr:col>
      <xdr:colOff>9526</xdr:colOff>
      <xdr:row>1</xdr:row>
      <xdr:rowOff>57150</xdr:rowOff>
    </xdr:from>
    <xdr:ext cx="628650" cy="2381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6105526" y="247650"/>
              <a:ext cx="628650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acc>
                      </m:sub>
                    </m:sSub>
                    <m:r>
                      <a:rPr lang="en-US" sz="1200" b="0" i="1">
                        <a:latin typeface="Cambria Math" panose="02040503050406030204" pitchFamily="18" charset="0"/>
                      </a:rPr>
                      <m:t>(</m:t>
                    </m:r>
                    <m:acc>
                      <m:accPr>
                        <m:chr m:val="̅"/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2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6105526" y="247650"/>
              <a:ext cx="628650" cy="2381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200" b="0" i="0">
                  <a:latin typeface="Cambria Math" panose="02040503050406030204" pitchFamily="18" charset="0"/>
                </a:rPr>
                <a:t>𝑝_𝑋 ̅  (𝑥 ̅)</a:t>
              </a:r>
              <a:endParaRPr lang="en-US" sz="12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twoCellAnchor>
    <xdr:from>
      <xdr:col>8</xdr:col>
      <xdr:colOff>190500</xdr:colOff>
      <xdr:row>4</xdr:row>
      <xdr:rowOff>257175</xdr:rowOff>
    </xdr:from>
    <xdr:to>
      <xdr:col>8</xdr:col>
      <xdr:colOff>485775</xdr:colOff>
      <xdr:row>4</xdr:row>
      <xdr:rowOff>266700</xdr:rowOff>
    </xdr:to>
    <xdr:cxnSp macro="">
      <xdr:nvCxnSpPr>
        <xdr:cNvPr id="8" name="Straight Arrow Connector 7"/>
        <xdr:cNvCxnSpPr/>
      </xdr:nvCxnSpPr>
      <xdr:spPr>
        <a:xfrm flipV="1">
          <a:off x="5067300" y="1362075"/>
          <a:ext cx="295275" cy="95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tabSelected="1" workbookViewId="0">
      <selection activeCell="A4" sqref="A4"/>
    </sheetView>
  </sheetViews>
  <sheetFormatPr defaultRowHeight="15"/>
  <sheetData>
    <row r="3" spans="1:1">
      <c r="A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9"/>
  <sheetViews>
    <sheetView showGridLines="0" workbookViewId="0">
      <pane ySplit="1" topLeftCell="A2" activePane="bottomLeft" state="frozen"/>
      <selection pane="bottomLeft" activeCell="D56" sqref="D56"/>
    </sheetView>
  </sheetViews>
  <sheetFormatPr defaultRowHeight="15" outlineLevelRow="1"/>
  <cols>
    <col min="1" max="1" width="6.7109375" customWidth="1"/>
    <col min="2" max="2" width="6.7109375" style="48" customWidth="1"/>
    <col min="3" max="3" width="6.7109375" customWidth="1"/>
    <col min="4" max="4" width="33.5703125" customWidth="1"/>
  </cols>
  <sheetData>
    <row r="1" spans="1:4" ht="15.75">
      <c r="A1" s="58" t="s">
        <v>69</v>
      </c>
    </row>
    <row r="3" spans="1:4">
      <c r="A3" s="54"/>
      <c r="B3" s="55" t="s">
        <v>49</v>
      </c>
      <c r="C3" s="56"/>
      <c r="D3" s="57"/>
    </row>
    <row r="6" spans="1:4">
      <c r="A6" s="54"/>
      <c r="B6" s="55" t="s">
        <v>50</v>
      </c>
      <c r="C6" s="56"/>
      <c r="D6" s="57"/>
    </row>
    <row r="9" spans="1:4">
      <c r="A9" s="54"/>
      <c r="B9" s="55" t="s">
        <v>51</v>
      </c>
      <c r="C9" s="56"/>
      <c r="D9" s="57"/>
    </row>
    <row r="12" spans="1:4">
      <c r="A12" s="54"/>
      <c r="B12" s="55" t="s">
        <v>52</v>
      </c>
      <c r="C12" s="56"/>
      <c r="D12" s="57"/>
    </row>
    <row r="15" spans="1:4">
      <c r="A15" s="54"/>
      <c r="B15" s="55" t="s">
        <v>53</v>
      </c>
      <c r="C15" s="56"/>
      <c r="D15" s="57"/>
    </row>
    <row r="18" spans="1:4">
      <c r="A18" s="54"/>
      <c r="B18" s="55" t="s">
        <v>54</v>
      </c>
      <c r="C18" s="56"/>
      <c r="D18" s="57"/>
    </row>
    <row r="21" spans="1:4" collapsed="1">
      <c r="A21" s="54">
        <f>COUNTIF(B22:B40,"OK")/COUNTA(C22:C40)</f>
        <v>0.15789473684210525</v>
      </c>
      <c r="B21" s="55" t="s">
        <v>47</v>
      </c>
      <c r="C21" s="56" t="s">
        <v>48</v>
      </c>
      <c r="D21" s="57"/>
    </row>
    <row r="22" spans="1:4" hidden="1" outlineLevel="1">
      <c r="B22" s="51" t="s">
        <v>56</v>
      </c>
      <c r="C22" s="52" t="s">
        <v>46</v>
      </c>
      <c r="D22" s="52" t="s">
        <v>57</v>
      </c>
    </row>
    <row r="23" spans="1:4" hidden="1" outlineLevel="1">
      <c r="B23" s="48" t="s">
        <v>56</v>
      </c>
      <c r="C23" t="s">
        <v>45</v>
      </c>
    </row>
    <row r="24" spans="1:4" hidden="1" outlineLevel="1">
      <c r="B24" s="49" t="s">
        <v>58</v>
      </c>
      <c r="C24" s="50" t="s">
        <v>44</v>
      </c>
      <c r="D24" s="50" t="s">
        <v>59</v>
      </c>
    </row>
    <row r="25" spans="1:4" hidden="1" outlineLevel="1">
      <c r="B25" s="48" t="s">
        <v>56</v>
      </c>
      <c r="C25" t="s">
        <v>43</v>
      </c>
    </row>
    <row r="26" spans="1:4" hidden="1" outlineLevel="1">
      <c r="C26" t="s">
        <v>42</v>
      </c>
    </row>
    <row r="27" spans="1:4" hidden="1" outlineLevel="1">
      <c r="C27" t="s">
        <v>41</v>
      </c>
    </row>
    <row r="28" spans="1:4" hidden="1" outlineLevel="1">
      <c r="C28" t="s">
        <v>40</v>
      </c>
    </row>
    <row r="29" spans="1:4" hidden="1" outlineLevel="1">
      <c r="C29" t="s">
        <v>39</v>
      </c>
    </row>
    <row r="30" spans="1:4" hidden="1" outlineLevel="1">
      <c r="C30" t="s">
        <v>38</v>
      </c>
    </row>
    <row r="31" spans="1:4" hidden="1" outlineLevel="1">
      <c r="C31" t="s">
        <v>37</v>
      </c>
    </row>
    <row r="32" spans="1:4" hidden="1" outlineLevel="1">
      <c r="C32" t="s">
        <v>36</v>
      </c>
    </row>
    <row r="33" spans="1:4" hidden="1" outlineLevel="1">
      <c r="C33" t="s">
        <v>35</v>
      </c>
    </row>
    <row r="34" spans="1:4" hidden="1" outlineLevel="1">
      <c r="C34" t="s">
        <v>34</v>
      </c>
    </row>
    <row r="35" spans="1:4" hidden="1" outlineLevel="1">
      <c r="C35" t="s">
        <v>33</v>
      </c>
    </row>
    <row r="36" spans="1:4" hidden="1" outlineLevel="1">
      <c r="C36" t="s">
        <v>32</v>
      </c>
    </row>
    <row r="37" spans="1:4" hidden="1" outlineLevel="1">
      <c r="C37" t="s">
        <v>31</v>
      </c>
    </row>
    <row r="38" spans="1:4" hidden="1" outlineLevel="1">
      <c r="C38" t="s">
        <v>30</v>
      </c>
    </row>
    <row r="39" spans="1:4" hidden="1" outlineLevel="1">
      <c r="C39" t="s">
        <v>29</v>
      </c>
    </row>
    <row r="40" spans="1:4" hidden="1" outlineLevel="1">
      <c r="C40" t="s">
        <v>28</v>
      </c>
    </row>
    <row r="42" spans="1:4" collapsed="1">
      <c r="A42" s="54">
        <f>COUNTIF(B43:B69,"OK")/COUNTA(C43:C69)</f>
        <v>0.18518518518518517</v>
      </c>
      <c r="B42" s="55" t="s">
        <v>55</v>
      </c>
      <c r="C42" s="56" t="s">
        <v>60</v>
      </c>
      <c r="D42" s="57"/>
    </row>
    <row r="43" spans="1:4" hidden="1" outlineLevel="1">
      <c r="B43" s="48" t="s">
        <v>56</v>
      </c>
      <c r="C43" s="53" t="s">
        <v>46</v>
      </c>
    </row>
    <row r="44" spans="1:4" hidden="1" outlineLevel="1">
      <c r="B44" s="48" t="s">
        <v>56</v>
      </c>
      <c r="C44" s="53" t="s">
        <v>45</v>
      </c>
    </row>
    <row r="45" spans="1:4" hidden="1" outlineLevel="1">
      <c r="B45" s="48" t="s">
        <v>56</v>
      </c>
      <c r="C45" s="53" t="s">
        <v>44</v>
      </c>
    </row>
    <row r="46" spans="1:4" hidden="1" outlineLevel="1">
      <c r="B46" s="48" t="s">
        <v>56</v>
      </c>
      <c r="C46" s="53" t="s">
        <v>43</v>
      </c>
    </row>
    <row r="47" spans="1:4" hidden="1" outlineLevel="1">
      <c r="C47" s="53" t="s">
        <v>42</v>
      </c>
    </row>
    <row r="48" spans="1:4" hidden="1" outlineLevel="1">
      <c r="C48" s="53" t="s">
        <v>41</v>
      </c>
    </row>
    <row r="49" spans="2:4" hidden="1" outlineLevel="1">
      <c r="C49" s="53" t="s">
        <v>40</v>
      </c>
    </row>
    <row r="50" spans="2:4" hidden="1" outlineLevel="1">
      <c r="C50" s="53" t="s">
        <v>39</v>
      </c>
    </row>
    <row r="51" spans="2:4" hidden="1" outlineLevel="1">
      <c r="C51" s="53" t="s">
        <v>38</v>
      </c>
    </row>
    <row r="52" spans="2:4" hidden="1" outlineLevel="1">
      <c r="C52" s="53" t="s">
        <v>37</v>
      </c>
    </row>
    <row r="53" spans="2:4" hidden="1" outlineLevel="1">
      <c r="C53" s="53" t="s">
        <v>36</v>
      </c>
    </row>
    <row r="54" spans="2:4" hidden="1" outlineLevel="1">
      <c r="B54" s="48" t="s">
        <v>56</v>
      </c>
      <c r="C54" s="53" t="s">
        <v>35</v>
      </c>
      <c r="D54" t="s">
        <v>70</v>
      </c>
    </row>
    <row r="55" spans="2:4" hidden="1" outlineLevel="1">
      <c r="C55" s="53" t="s">
        <v>34</v>
      </c>
    </row>
    <row r="56" spans="2:4" hidden="1" outlineLevel="1">
      <c r="C56" s="53" t="s">
        <v>33</v>
      </c>
    </row>
    <row r="57" spans="2:4" hidden="1" outlineLevel="1">
      <c r="C57" s="53" t="s">
        <v>32</v>
      </c>
    </row>
    <row r="58" spans="2:4" hidden="1" outlineLevel="1">
      <c r="C58" s="53" t="s">
        <v>31</v>
      </c>
    </row>
    <row r="59" spans="2:4" hidden="1" outlineLevel="1">
      <c r="C59" s="53" t="s">
        <v>30</v>
      </c>
    </row>
    <row r="60" spans="2:4" hidden="1" outlineLevel="1">
      <c r="C60" s="53" t="s">
        <v>29</v>
      </c>
    </row>
    <row r="61" spans="2:4" hidden="1" outlineLevel="1">
      <c r="C61" s="53" t="s">
        <v>28</v>
      </c>
    </row>
    <row r="62" spans="2:4" hidden="1" outlineLevel="1">
      <c r="C62" s="53" t="s">
        <v>61</v>
      </c>
    </row>
    <row r="63" spans="2:4" hidden="1" outlineLevel="1">
      <c r="C63" s="53" t="s">
        <v>62</v>
      </c>
    </row>
    <row r="64" spans="2:4" hidden="1" outlineLevel="1">
      <c r="C64" s="53" t="s">
        <v>63</v>
      </c>
    </row>
    <row r="65" spans="3:3" hidden="1" outlineLevel="1">
      <c r="C65" s="53" t="s">
        <v>64</v>
      </c>
    </row>
    <row r="66" spans="3:3" hidden="1" outlineLevel="1">
      <c r="C66" s="53" t="s">
        <v>65</v>
      </c>
    </row>
    <row r="67" spans="3:3" hidden="1" outlineLevel="1">
      <c r="C67" s="53" t="s">
        <v>66</v>
      </c>
    </row>
    <row r="68" spans="3:3" hidden="1" outlineLevel="1">
      <c r="C68" s="53" t="s">
        <v>67</v>
      </c>
    </row>
    <row r="69" spans="3:3" hidden="1" outlineLevel="1">
      <c r="C69" s="53" t="s">
        <v>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showGridLines="0" topLeftCell="A5" workbookViewId="0">
      <selection activeCell="H18" sqref="H18"/>
    </sheetView>
  </sheetViews>
  <sheetFormatPr defaultRowHeight="24" customHeight="1"/>
  <cols>
    <col min="1" max="1" width="9.140625" style="1" customWidth="1"/>
    <col min="2" max="3" width="6.7109375" style="1" customWidth="1"/>
    <col min="4" max="8" width="9.140625" style="1"/>
    <col min="9" max="10" width="6.7109375" style="1" customWidth="1"/>
    <col min="11" max="14" width="9.140625" style="1"/>
    <col min="15" max="15" width="6.7109375" style="1" customWidth="1"/>
    <col min="16" max="16384" width="9.140625" style="1"/>
  </cols>
  <sheetData>
    <row r="1" spans="2:14" ht="15"/>
    <row r="2" spans="2:14" ht="24" customHeight="1">
      <c r="B2" s="66" t="s">
        <v>4</v>
      </c>
      <c r="C2" s="62"/>
      <c r="D2" s="61" t="s">
        <v>1</v>
      </c>
      <c r="E2" s="59"/>
      <c r="F2" s="62"/>
      <c r="G2" s="61" t="s">
        <v>2</v>
      </c>
      <c r="I2" s="68" t="s">
        <v>6</v>
      </c>
      <c r="J2" s="69"/>
      <c r="K2" s="61" t="s">
        <v>1</v>
      </c>
      <c r="L2" s="59"/>
      <c r="M2" s="62"/>
      <c r="N2" s="72" t="s">
        <v>5</v>
      </c>
    </row>
    <row r="3" spans="2:14" ht="24" customHeight="1">
      <c r="B3" s="60"/>
      <c r="C3" s="67"/>
      <c r="D3" s="2">
        <v>0</v>
      </c>
      <c r="E3" s="2">
        <v>1</v>
      </c>
      <c r="F3" s="2">
        <v>2</v>
      </c>
      <c r="G3" s="63"/>
      <c r="I3" s="70"/>
      <c r="J3" s="71"/>
      <c r="K3" s="2">
        <v>0</v>
      </c>
      <c r="L3" s="2">
        <v>1</v>
      </c>
      <c r="M3" s="2">
        <v>2</v>
      </c>
      <c r="N3" s="73"/>
    </row>
    <row r="4" spans="2:14" ht="24" customHeight="1">
      <c r="B4" s="59" t="s">
        <v>0</v>
      </c>
      <c r="C4" s="3">
        <v>0</v>
      </c>
      <c r="D4" s="4">
        <v>0.81479999999999997</v>
      </c>
      <c r="E4" s="4">
        <v>1.6799999999999999E-2</v>
      </c>
      <c r="F4" s="4">
        <v>8.3999999999999995E-3</v>
      </c>
      <c r="G4" s="7">
        <f>SUM(D4:F4)</f>
        <v>0.84</v>
      </c>
      <c r="I4" s="59" t="s">
        <v>0</v>
      </c>
      <c r="J4" s="3">
        <v>0</v>
      </c>
      <c r="K4" s="11">
        <v>0.81479999999999997</v>
      </c>
      <c r="L4" s="15">
        <v>1.6799999999999999E-2</v>
      </c>
      <c r="M4" s="15">
        <v>8.3999999999999995E-3</v>
      </c>
      <c r="N4" s="7">
        <f>SUM(K4:M4)</f>
        <v>0.84</v>
      </c>
    </row>
    <row r="5" spans="2:14" ht="24" customHeight="1">
      <c r="B5" s="59"/>
      <c r="C5" s="3">
        <v>1</v>
      </c>
      <c r="D5" s="4">
        <v>1E-3</v>
      </c>
      <c r="E5" s="4">
        <v>9.8000000000000004E-2</v>
      </c>
      <c r="F5" s="4">
        <v>1E-3</v>
      </c>
      <c r="G5" s="7">
        <f t="shared" ref="G5:G6" si="0">SUM(D5:F5)</f>
        <v>0.1</v>
      </c>
      <c r="I5" s="59"/>
      <c r="J5" s="3">
        <v>1</v>
      </c>
      <c r="K5" s="13">
        <v>1E-3</v>
      </c>
      <c r="L5" s="11">
        <v>9.8000000000000004E-2</v>
      </c>
      <c r="M5" s="15">
        <v>1E-3</v>
      </c>
      <c r="N5" s="7">
        <f t="shared" ref="N5:N6" si="1">SUM(K5:M5)</f>
        <v>0.1</v>
      </c>
    </row>
    <row r="6" spans="2:14" ht="24" customHeight="1">
      <c r="B6" s="60"/>
      <c r="C6" s="5">
        <v>2</v>
      </c>
      <c r="D6" s="6">
        <v>5.9999999999999995E-4</v>
      </c>
      <c r="E6" s="6">
        <v>1.1999999999999999E-3</v>
      </c>
      <c r="F6" s="6">
        <v>5.8200000000000002E-2</v>
      </c>
      <c r="G6" s="8">
        <f t="shared" si="0"/>
        <v>6.0000000000000005E-2</v>
      </c>
      <c r="I6" s="60"/>
      <c r="J6" s="5">
        <v>2</v>
      </c>
      <c r="K6" s="14">
        <v>5.9999999999999995E-4</v>
      </c>
      <c r="L6" s="14">
        <v>1.1999999999999999E-3</v>
      </c>
      <c r="M6" s="12">
        <v>5.8200000000000002E-2</v>
      </c>
      <c r="N6" s="8">
        <f t="shared" si="1"/>
        <v>6.0000000000000005E-2</v>
      </c>
    </row>
    <row r="7" spans="2:14" ht="24" customHeight="1">
      <c r="B7" s="64" t="s">
        <v>3</v>
      </c>
      <c r="C7" s="65"/>
      <c r="D7" s="4">
        <f>SUM(D4:D6)</f>
        <v>0.81640000000000001</v>
      </c>
      <c r="E7" s="9">
        <f t="shared" ref="E7:F7" si="2">SUM(E4:E6)</f>
        <v>0.11600000000000001</v>
      </c>
      <c r="F7" s="10">
        <f t="shared" si="2"/>
        <v>6.7599999999999993E-2</v>
      </c>
      <c r="G7" s="4">
        <f>SUM(G4:G6)</f>
        <v>1</v>
      </c>
      <c r="I7" s="74" t="s">
        <v>7</v>
      </c>
      <c r="J7" s="75"/>
      <c r="K7" s="4">
        <f>SUM(K4:K6)</f>
        <v>0.81640000000000001</v>
      </c>
      <c r="L7" s="9">
        <f t="shared" ref="L7:M7" si="3">SUM(L4:L6)</f>
        <v>0.11600000000000001</v>
      </c>
      <c r="M7" s="10">
        <f t="shared" si="3"/>
        <v>6.7599999999999993E-2</v>
      </c>
      <c r="N7" s="4">
        <f>SUM(N4:N6)</f>
        <v>1</v>
      </c>
    </row>
    <row r="9" spans="2:14" ht="24" customHeight="1">
      <c r="J9" s="1" t="s">
        <v>8</v>
      </c>
      <c r="M9" s="16"/>
    </row>
    <row r="11" spans="2:14" ht="24" customHeight="1">
      <c r="D11" s="18" t="s">
        <v>9</v>
      </c>
      <c r="E11" s="19">
        <f>C5*G5+C6*G6</f>
        <v>0.22000000000000003</v>
      </c>
      <c r="G11" s="18" t="s">
        <v>11</v>
      </c>
      <c r="H11" s="17">
        <f>C5*G5+(C6^2)*G6</f>
        <v>0.34</v>
      </c>
    </row>
    <row r="12" spans="2:14" ht="24" customHeight="1">
      <c r="D12" s="18" t="s">
        <v>10</v>
      </c>
      <c r="E12" s="19">
        <f>E3*E7+F3*F7</f>
        <v>0.25119999999999998</v>
      </c>
      <c r="G12" s="18" t="s">
        <v>12</v>
      </c>
      <c r="H12" s="17">
        <f>E3*E7+(F3^2)*F7</f>
        <v>0.38639999999999997</v>
      </c>
    </row>
    <row r="13" spans="2:14" ht="24" customHeight="1">
      <c r="D13" s="18" t="s">
        <v>13</v>
      </c>
      <c r="E13" s="17">
        <f>H11-E11^2</f>
        <v>0.29160000000000003</v>
      </c>
      <c r="G13" s="18" t="s">
        <v>20</v>
      </c>
      <c r="H13" s="17">
        <f>SQRT(E13)</f>
        <v>0.54</v>
      </c>
    </row>
    <row r="14" spans="2:14" ht="24" customHeight="1">
      <c r="D14" s="18" t="s">
        <v>14</v>
      </c>
      <c r="E14" s="17">
        <f>H12-E12^2</f>
        <v>0.32329855999999996</v>
      </c>
      <c r="G14" s="18" t="s">
        <v>21</v>
      </c>
      <c r="H14" s="17">
        <f>SQRT(E14)</f>
        <v>0.56859349275207149</v>
      </c>
    </row>
    <row r="16" spans="2:14" ht="24" customHeight="1">
      <c r="D16" s="18" t="s">
        <v>16</v>
      </c>
      <c r="E16" s="17">
        <f>E11-E12</f>
        <v>-3.119999999999995E-2</v>
      </c>
      <c r="G16" s="18" t="s">
        <v>18</v>
      </c>
      <c r="H16" s="17">
        <f>E5+2*F5+2*E6+4*F6</f>
        <v>0.3352</v>
      </c>
    </row>
    <row r="17" spans="4:8" ht="24" customHeight="1">
      <c r="D17" s="18" t="s">
        <v>15</v>
      </c>
      <c r="E17" s="17">
        <f>(D5+E5)/G5</f>
        <v>0.99</v>
      </c>
      <c r="G17" s="18" t="s">
        <v>19</v>
      </c>
      <c r="H17" s="17">
        <f>H16-E11*E12</f>
        <v>0.27993600000000002</v>
      </c>
    </row>
    <row r="18" spans="4:8" ht="24" customHeight="1">
      <c r="D18" s="18" t="s">
        <v>17</v>
      </c>
      <c r="E18" s="17">
        <f>(D4+D5+E5)/(G4+G5)</f>
        <v>0.97212765957446812</v>
      </c>
      <c r="G18" s="18" t="s">
        <v>22</v>
      </c>
      <c r="H18" s="17">
        <f>H17/(H13*H14)</f>
        <v>0.91172341331391604</v>
      </c>
    </row>
  </sheetData>
  <mergeCells count="10">
    <mergeCell ref="I2:J3"/>
    <mergeCell ref="K2:M2"/>
    <mergeCell ref="N2:N3"/>
    <mergeCell ref="I4:I6"/>
    <mergeCell ref="I7:J7"/>
    <mergeCell ref="B4:B6"/>
    <mergeCell ref="D2:F2"/>
    <mergeCell ref="G2:G3"/>
    <mergeCell ref="B7:C7"/>
    <mergeCell ref="B2:C3"/>
  </mergeCells>
  <pageMargins left="0.7" right="0.7" top="0.75" bottom="0.75" header="0.3" footer="0.3"/>
  <pageSetup orientation="portrait" r:id="rId1"/>
  <ignoredErrors>
    <ignoredError sqref="G4:G6 D7:F7 N4:N6 K7:M7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5"/>
  <sheetViews>
    <sheetView showGridLines="0" workbookViewId="0">
      <selection activeCell="P13" sqref="P13"/>
    </sheetView>
  </sheetViews>
  <sheetFormatPr defaultRowHeight="24" customHeight="1"/>
  <cols>
    <col min="1" max="1" width="9.140625" style="24" customWidth="1"/>
    <col min="2" max="10" width="9.140625" style="24"/>
    <col min="11" max="11" width="9.42578125" style="24" bestFit="1" customWidth="1"/>
    <col min="12" max="16384" width="9.140625" style="24"/>
  </cols>
  <sheetData>
    <row r="1" spans="2:12" ht="15"/>
    <row r="2" spans="2:12" ht="24" customHeight="1">
      <c r="B2" s="20" t="s">
        <v>23</v>
      </c>
      <c r="C2" s="21" t="s">
        <v>5</v>
      </c>
      <c r="E2" s="20" t="s">
        <v>24</v>
      </c>
      <c r="F2" s="20" t="s">
        <v>25</v>
      </c>
      <c r="G2" s="22"/>
      <c r="H2" s="23"/>
      <c r="J2" s="20"/>
      <c r="K2" s="21"/>
    </row>
    <row r="3" spans="2:12" ht="24" customHeight="1">
      <c r="B3" s="25">
        <v>160</v>
      </c>
      <c r="C3" s="26">
        <v>0.5</v>
      </c>
      <c r="E3" s="27">
        <v>160</v>
      </c>
      <c r="F3" s="28">
        <v>160</v>
      </c>
      <c r="G3" s="29">
        <f>0.5^2</f>
        <v>0.25</v>
      </c>
      <c r="H3" s="45">
        <f t="shared" ref="H3:H11" si="0">(E3+F3)/2</f>
        <v>160</v>
      </c>
      <c r="J3" s="30">
        <v>160</v>
      </c>
      <c r="K3" s="29">
        <f t="shared" ref="K3:K8" si="1">SUMIF($H$3:$H$11,J3,$G$3:$G$11)</f>
        <v>0.25</v>
      </c>
    </row>
    <row r="4" spans="2:12" ht="24" customHeight="1">
      <c r="B4" s="25">
        <v>200</v>
      </c>
      <c r="C4" s="26">
        <v>0.3</v>
      </c>
      <c r="E4" s="31">
        <v>160</v>
      </c>
      <c r="F4" s="32">
        <v>200</v>
      </c>
      <c r="G4" s="29">
        <f>0.5*0.3</f>
        <v>0.15</v>
      </c>
      <c r="H4" s="46">
        <f t="shared" si="0"/>
        <v>180</v>
      </c>
      <c r="J4" s="33">
        <v>180</v>
      </c>
      <c r="K4" s="29">
        <f t="shared" si="1"/>
        <v>0.3</v>
      </c>
    </row>
    <row r="5" spans="2:12" ht="24" customHeight="1">
      <c r="B5" s="34">
        <v>250</v>
      </c>
      <c r="C5" s="35">
        <v>0.2</v>
      </c>
      <c r="E5" s="31">
        <v>160</v>
      </c>
      <c r="F5" s="32">
        <v>250</v>
      </c>
      <c r="G5" s="29">
        <f>0.5*0.2</f>
        <v>0.1</v>
      </c>
      <c r="H5" s="46">
        <f t="shared" si="0"/>
        <v>205</v>
      </c>
      <c r="J5" s="33">
        <v>200</v>
      </c>
      <c r="K5" s="29">
        <f t="shared" si="1"/>
        <v>0.09</v>
      </c>
      <c r="L5" s="29"/>
    </row>
    <row r="6" spans="2:12" ht="24" customHeight="1">
      <c r="B6" s="29"/>
      <c r="C6" s="29">
        <f>SUM(C3:C5)</f>
        <v>1</v>
      </c>
      <c r="E6" s="36">
        <v>200</v>
      </c>
      <c r="F6" s="32">
        <v>160</v>
      </c>
      <c r="G6" s="29">
        <f>0.3*0.5</f>
        <v>0.15</v>
      </c>
      <c r="H6" s="46">
        <f t="shared" si="0"/>
        <v>180</v>
      </c>
      <c r="J6" s="37">
        <v>205</v>
      </c>
      <c r="K6" s="29">
        <f t="shared" si="1"/>
        <v>0.2</v>
      </c>
    </row>
    <row r="7" spans="2:12" ht="24" customHeight="1">
      <c r="E7" s="36">
        <v>200</v>
      </c>
      <c r="F7" s="32">
        <v>200</v>
      </c>
      <c r="G7" s="29">
        <f>0.3^2</f>
        <v>0.09</v>
      </c>
      <c r="H7" s="46">
        <f t="shared" si="0"/>
        <v>200</v>
      </c>
      <c r="J7" s="37">
        <v>250</v>
      </c>
      <c r="K7" s="29">
        <f t="shared" si="1"/>
        <v>4.0000000000000008E-2</v>
      </c>
    </row>
    <row r="8" spans="2:12" ht="24" customHeight="1">
      <c r="B8" s="38" t="s">
        <v>9</v>
      </c>
      <c r="C8" s="24">
        <f>B3*C3+B4*C4+B5*C5</f>
        <v>190</v>
      </c>
      <c r="E8" s="36">
        <v>200</v>
      </c>
      <c r="F8" s="32">
        <v>250</v>
      </c>
      <c r="G8" s="29">
        <f>0.3*0.2</f>
        <v>0.06</v>
      </c>
      <c r="H8" s="46">
        <f t="shared" si="0"/>
        <v>225</v>
      </c>
      <c r="J8" s="39">
        <v>225</v>
      </c>
      <c r="K8" s="40">
        <f t="shared" si="1"/>
        <v>0.12</v>
      </c>
    </row>
    <row r="9" spans="2:12" ht="24" customHeight="1">
      <c r="B9" s="38" t="s">
        <v>26</v>
      </c>
      <c r="C9" s="24">
        <f>B3^2*C3+B4^2*C4+B5^2*C5-C8^2</f>
        <v>1200</v>
      </c>
      <c r="E9" s="36">
        <v>250</v>
      </c>
      <c r="F9" s="32">
        <v>160</v>
      </c>
      <c r="G9" s="29">
        <f>0.2*0.5</f>
        <v>0.1</v>
      </c>
      <c r="H9" s="46">
        <f t="shared" si="0"/>
        <v>205</v>
      </c>
      <c r="J9" s="29"/>
      <c r="K9" s="29">
        <f>SUM(K3:K8)</f>
        <v>1</v>
      </c>
    </row>
    <row r="10" spans="2:12" ht="24" customHeight="1">
      <c r="C10" s="38"/>
      <c r="D10" s="41"/>
      <c r="E10" s="36">
        <v>250</v>
      </c>
      <c r="F10" s="32">
        <v>200</v>
      </c>
      <c r="G10" s="29">
        <f>0.2*0.3</f>
        <v>0.06</v>
      </c>
      <c r="H10" s="46">
        <f t="shared" si="0"/>
        <v>225</v>
      </c>
      <c r="J10" s="42"/>
      <c r="K10" s="29"/>
    </row>
    <row r="11" spans="2:12" ht="24" customHeight="1">
      <c r="C11" s="38"/>
      <c r="D11" s="41"/>
      <c r="E11" s="43">
        <v>250</v>
      </c>
      <c r="F11" s="44">
        <v>250</v>
      </c>
      <c r="G11" s="35">
        <f>0.2^2</f>
        <v>4.0000000000000008E-2</v>
      </c>
      <c r="H11" s="47">
        <f t="shared" si="0"/>
        <v>250</v>
      </c>
      <c r="J11" s="38"/>
    </row>
    <row r="12" spans="2:12" ht="24" customHeight="1">
      <c r="G12" s="29">
        <f>SUM(G3:G11)</f>
        <v>1</v>
      </c>
      <c r="H12" s="29"/>
      <c r="J12" s="38"/>
    </row>
    <row r="15" spans="2:12" ht="24" customHeight="1">
      <c r="J15" s="38" t="s">
        <v>27</v>
      </c>
      <c r="K15" s="24">
        <f>J3*K3+J4*K4+J5*K5+J6*K6+J7*K7+J8*K8</f>
        <v>190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Listado</vt:lpstr>
      <vt:lpstr>5.1</vt:lpstr>
      <vt:lpstr>6.1</vt:lpstr>
    </vt:vector>
  </TitlesOfParts>
  <Company>Techint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LENTINI Alejandro TENARIS</dc:creator>
  <cp:lastModifiedBy>LENTINI Alejandro TENARIS</cp:lastModifiedBy>
  <dcterms:created xsi:type="dcterms:W3CDTF">2019-08-15T11:16:00Z</dcterms:created>
  <dcterms:modified xsi:type="dcterms:W3CDTF">2019-10-24T22:24:14Z</dcterms:modified>
</cp:coreProperties>
</file>